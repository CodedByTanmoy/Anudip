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tanmo\Desktop\"/>
    </mc:Choice>
  </mc:AlternateContent>
  <bookViews>
    <workbookView xWindow="0" yWindow="0" windowWidth="23040" windowHeight="9072" activeTab="2"/>
  </bookViews>
  <sheets>
    <sheet name="Sheet1 - PRODUCTS" sheetId="1" r:id="rId1"/>
    <sheet name="Sheet2 - CUSTOMERS" sheetId="3" r:id="rId2"/>
    <sheet name="Sheet3 - OEVRALL_SUMMARY" sheetId="4" r:id="rId3"/>
    <sheet name="PIVOT_DATA" sheetId="5" r:id="rId4"/>
    <sheet name="DASHBOARD" sheetId="7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" i="4" l="1"/>
  <c r="K37" i="4"/>
  <c r="K30" i="4"/>
  <c r="K35" i="4"/>
  <c r="K34" i="4"/>
  <c r="K33" i="4"/>
  <c r="K32" i="4"/>
  <c r="K31" i="4"/>
  <c r="E15" i="4" l="1"/>
  <c r="E16" i="4"/>
  <c r="E17" i="4"/>
  <c r="E18" i="4"/>
  <c r="N15" i="4" l="1"/>
  <c r="P15" i="4" s="1"/>
  <c r="N16" i="4"/>
  <c r="P16" i="4" s="1"/>
  <c r="N17" i="4"/>
  <c r="P17" i="4" s="1"/>
  <c r="N18" i="4"/>
  <c r="P18" i="4" s="1"/>
  <c r="M15" i="4"/>
  <c r="M16" i="4"/>
  <c r="M17" i="4"/>
  <c r="M18" i="4"/>
  <c r="L15" i="4"/>
  <c r="L16" i="4"/>
  <c r="L17" i="4"/>
  <c r="L18" i="4"/>
  <c r="K15" i="4"/>
  <c r="O15" i="4" s="1"/>
  <c r="K16" i="4"/>
  <c r="O16" i="4" s="1"/>
  <c r="K17" i="4"/>
  <c r="O17" i="4" s="1"/>
  <c r="K18" i="4"/>
  <c r="O18" i="4" s="1"/>
  <c r="J15" i="4"/>
  <c r="J16" i="4"/>
  <c r="J17" i="4"/>
  <c r="J18" i="4"/>
  <c r="I15" i="4"/>
  <c r="I16" i="4"/>
  <c r="I17" i="4"/>
  <c r="I18" i="4"/>
  <c r="Q16" i="4" l="1"/>
  <c r="Q18" i="4"/>
  <c r="Q15" i="4"/>
  <c r="Q17" i="4"/>
</calcChain>
</file>

<file path=xl/sharedStrings.xml><?xml version="1.0" encoding="utf-8"?>
<sst xmlns="http://schemas.openxmlformats.org/spreadsheetml/2006/main" count="123" uniqueCount="88">
  <si>
    <t>SHEET - 1</t>
  </si>
  <si>
    <t>PRODUCTS</t>
  </si>
  <si>
    <t>Product_ID</t>
  </si>
  <si>
    <t>Product_Name</t>
  </si>
  <si>
    <t>Category</t>
  </si>
  <si>
    <t>Cost_Price</t>
  </si>
  <si>
    <t>Selling_Price</t>
  </si>
  <si>
    <t>P101</t>
  </si>
  <si>
    <t>P102</t>
  </si>
  <si>
    <t>P103</t>
  </si>
  <si>
    <t>P104</t>
  </si>
  <si>
    <t>P105</t>
  </si>
  <si>
    <t>P106</t>
  </si>
  <si>
    <t>P107</t>
  </si>
  <si>
    <t>P108</t>
  </si>
  <si>
    <t>Laptop</t>
  </si>
  <si>
    <t>Smartphone</t>
  </si>
  <si>
    <t>Headphones</t>
  </si>
  <si>
    <t>Keyboard</t>
  </si>
  <si>
    <t>Office Chair</t>
  </si>
  <si>
    <t>Study Table</t>
  </si>
  <si>
    <t>Printer</t>
  </si>
  <si>
    <t>Monitor</t>
  </si>
  <si>
    <t>Electronics</t>
  </si>
  <si>
    <t>Accessories</t>
  </si>
  <si>
    <t>Furniture</t>
  </si>
  <si>
    <t>SHEET - 2</t>
  </si>
  <si>
    <t>CUSTOMERS</t>
  </si>
  <si>
    <t>Customer_ID</t>
  </si>
  <si>
    <t>Customer_Name</t>
  </si>
  <si>
    <t>City</t>
  </si>
  <si>
    <t>Customer_Type</t>
  </si>
  <si>
    <t>C001</t>
  </si>
  <si>
    <t>C002</t>
  </si>
  <si>
    <t>C003</t>
  </si>
  <si>
    <t>C004</t>
  </si>
  <si>
    <t>Rahul</t>
  </si>
  <si>
    <t>Sneha</t>
  </si>
  <si>
    <t>Aman</t>
  </si>
  <si>
    <t>Neha</t>
  </si>
  <si>
    <t>Delhi</t>
  </si>
  <si>
    <t>Mumbai</t>
  </si>
  <si>
    <t>Kolkata</t>
  </si>
  <si>
    <t>Chennai</t>
  </si>
  <si>
    <t>Retail</t>
  </si>
  <si>
    <t>Wholesale</t>
  </si>
  <si>
    <t>SHEET - 3</t>
  </si>
  <si>
    <t>SALES</t>
  </si>
  <si>
    <t>Invoice_No</t>
  </si>
  <si>
    <t>Date</t>
  </si>
  <si>
    <t>Quantity</t>
  </si>
  <si>
    <t>INV001</t>
  </si>
  <si>
    <t>INV002</t>
  </si>
  <si>
    <t>INV003</t>
  </si>
  <si>
    <t>INV004</t>
  </si>
  <si>
    <t>ch</t>
  </si>
  <si>
    <t>Total_Sales_Amount</t>
  </si>
  <si>
    <t>Discount</t>
  </si>
  <si>
    <t>Final_Payable_Amount</t>
  </si>
  <si>
    <t>Month</t>
  </si>
  <si>
    <t>SUMMARY</t>
  </si>
  <si>
    <t>TOPICS</t>
  </si>
  <si>
    <t>REPORTS</t>
  </si>
  <si>
    <t>Total Revenue</t>
  </si>
  <si>
    <t>Retail Sales</t>
  </si>
  <si>
    <t>Wholesale Sales</t>
  </si>
  <si>
    <t>Electronics Sales</t>
  </si>
  <si>
    <t>Accessories Sales</t>
  </si>
  <si>
    <t>Top Customer</t>
  </si>
  <si>
    <t>Best Selling Product</t>
  </si>
  <si>
    <t>Total Quantity Sold</t>
  </si>
  <si>
    <t>Row Labels</t>
  </si>
  <si>
    <t>January</t>
  </si>
  <si>
    <t>February</t>
  </si>
  <si>
    <t>March</t>
  </si>
  <si>
    <t>April</t>
  </si>
  <si>
    <t>Grand Total</t>
  </si>
  <si>
    <t>Sum of Final_Payable_Amount</t>
  </si>
  <si>
    <t>PIVOT_DATA</t>
  </si>
  <si>
    <t>According to accessories, the final payable amount has been displayed here</t>
  </si>
  <si>
    <t>According to months, the final payable amount has been displayed here.</t>
  </si>
  <si>
    <t>According to customer, the final amount payed by them has been displayed here.</t>
  </si>
  <si>
    <t>Final Outcome</t>
  </si>
  <si>
    <t>DASHBOARD &amp; CHARTS</t>
  </si>
  <si>
    <t>Colour for formatting used here:-</t>
  </si>
  <si>
    <t>Used for showing the highest quantity purchased by client.</t>
  </si>
  <si>
    <t>Used for showing the customer type who is wholeseller.</t>
  </si>
  <si>
    <t>Used for showing the total sale amount is more than 50000.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</si>
</sst>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9" fontId="4" fillId="4" borderId="1" xfId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4" fillId="0" borderId="0" xfId="0" pivotButton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64" fontId="0" fillId="8" borderId="0" xfId="0" applyNumberFormat="1" applyFont="1" applyFill="1" applyAlignment="1">
      <alignment horizontal="center" vertical="center"/>
    </xf>
    <xf numFmtId="0" fontId="14" fillId="0" borderId="0" xfId="0" pivotButton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4" fillId="8" borderId="0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11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7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b/>
      </font>
    </dxf>
    <dxf>
      <font>
        <b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[Book1.xlsx]PIVOT_DATA!PivotTable1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PIVOT_DATA!$C$11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D0-4C51-8700-BEAD807612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D0-4C51-8700-BEAD807612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D0-4C51-8700-BEAD807612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D0-4C51-8700-BEAD807612D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PIVOT_DATA!$B$12:$B$16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PIVOT_DATA!$C$12:$C$16</c:f>
              <c:numCache>
                <c:formatCode>"₹"\ #,##0.00</c:formatCode>
                <c:ptCount val="4"/>
                <c:pt idx="0">
                  <c:v>42750</c:v>
                </c:pt>
                <c:pt idx="1">
                  <c:v>11250</c:v>
                </c:pt>
                <c:pt idx="2">
                  <c:v>71250</c:v>
                </c:pt>
                <c:pt idx="3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D0-4C51-8700-BEAD807612D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[Book1.xlsx]PIVOT_DATA!PivotTable2</c:name>
    <c:fmtId val="1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PIVOT_DATA!$H$11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PIVOT_DATA!$G$12:$G$14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PIVOT_DATA!$H$12:$H$14</c:f>
              <c:numCache>
                <c:formatCode>General</c:formatCode>
                <c:ptCount val="2"/>
                <c:pt idx="0">
                  <c:v>14100</c:v>
                </c:pt>
                <c:pt idx="1">
                  <c:v>114000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3-4833-993A-9D6D6038F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272783"/>
        <c:axId val="1250274447"/>
      </c:barChart>
      <c:catAx>
        <c:axId val="12502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74447"/>
        <c:crosses val="autoZero"/>
        <c:auto val="1"/>
        <c:lblAlgn val="ctr"/>
        <c:lblOffset val="100"/>
        <c:noMultiLvlLbl val="0"/>
      </c:catAx>
      <c:valAx>
        <c:axId val="12502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27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[Book1.xlsx]PIVOT_DATA!PivotTable3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PIVOT_DATA!$M$11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PIVOT_DATA!$L$12:$L$16</c:f>
              <c:strCache>
                <c:ptCount val="4"/>
                <c:pt idx="0">
                  <c:v>Aman</c:v>
                </c:pt>
                <c:pt idx="1">
                  <c:v>Neha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PIVOT_DATA!$M$12:$M$16</c:f>
              <c:numCache>
                <c:formatCode>General</c:formatCode>
                <c:ptCount val="4"/>
                <c:pt idx="0">
                  <c:v>71250</c:v>
                </c:pt>
                <c:pt idx="1">
                  <c:v>2850</c:v>
                </c:pt>
                <c:pt idx="2">
                  <c:v>42750</c:v>
                </c:pt>
                <c:pt idx="3">
                  <c:v>11250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0-49BB-BF9C-51325D61E2A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5424255"/>
        <c:axId val="1365426751"/>
      </c:barChart>
      <c:catAx>
        <c:axId val="136542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426751"/>
        <c:crosses val="autoZero"/>
        <c:auto val="1"/>
        <c:lblAlgn val="ctr"/>
        <c:lblOffset val="100"/>
        <c:noMultiLvlLbl val="0"/>
      </c:catAx>
      <c:valAx>
        <c:axId val="13654267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542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1066800</xdr:colOff>
      <xdr:row>8</xdr:row>
      <xdr:rowOff>137093</xdr:rowOff>
    </xdr:from>
    <xdr:to>
      <xdr:col>10</xdr:col>
      <xdr:colOff>404282</xdr:colOff>
      <xdr:row>12</xdr:row>
      <xdr:rowOff>85061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8400" y="1978593"/>
          <a:ext cx="848782" cy="836968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8</xdr:row>
      <xdr:rowOff>60960</xdr:rowOff>
    </xdr:from>
    <xdr:to>
      <xdr:col>6</xdr:col>
      <xdr:colOff>327660</xdr:colOff>
      <xdr:row>20</xdr:row>
      <xdr:rowOff>15240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8</xdr:row>
      <xdr:rowOff>53340</xdr:rowOff>
    </xdr:from>
    <xdr:to>
      <xdr:col>14</xdr:col>
      <xdr:colOff>243840</xdr:colOff>
      <xdr:row>19</xdr:row>
      <xdr:rowOff>137160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510540</xdr:colOff>
      <xdr:row>8</xdr:row>
      <xdr:rowOff>30480</xdr:rowOff>
    </xdr:from>
    <xdr:to>
      <xdr:col>22</xdr:col>
      <xdr:colOff>175260</xdr:colOff>
      <xdr:row>19</xdr:row>
      <xdr:rowOff>129540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nmoy Sarkar" refreshedDate="46061.72770787037" createdVersion="6" refreshedVersion="6" minRefreshableVersion="3" recordCount="4">
  <cacheSource type="worksheet">
    <worksheetSource name="Table3"/>
  </cacheSource>
  <cacheFields count="15">
    <cacheField name="Invoice_No" numFmtId="0">
      <sharedItems/>
    </cacheField>
    <cacheField name="Date" numFmtId="14">
      <sharedItems containsSemiMixedTypes="0" containsNonDate="0" containsDate="1" containsString="0" minDate="2024-01-01T00:00:00" maxDate="2024-04-06T00:00:00"/>
    </cacheField>
    <cacheField name="Month" numFmtId="0">
      <sharedItems count="4">
        <s v="January"/>
        <s v="February"/>
        <s v="March"/>
        <s v="April"/>
      </sharedItems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Product_Name" numFmtId="0">
      <sharedItems/>
    </cacheField>
    <cacheField name="Category" numFmtId="0">
      <sharedItems count="2">
        <s v="Electronics"/>
        <s v="Accessories"/>
      </sharedItems>
    </cacheField>
    <cacheField name="Selling_Price" numFmtId="0">
      <sharedItems containsSemiMixedTypes="0" containsString="0" containsNumber="1" containsInteger="1" minValue="1500" maxValue="45000"/>
    </cacheField>
    <cacheField name="Customer_Name" numFmtId="0">
      <sharedItems count="4">
        <s v="Rahul"/>
        <s v="Sneha"/>
        <s v="Aman"/>
        <s v="Neha"/>
      </sharedItems>
    </cacheField>
    <cacheField name="City" numFmtId="14">
      <sharedItems/>
    </cacheField>
    <cacheField name="Customer_Type" numFmtId="0">
      <sharedItems/>
    </cacheField>
    <cacheField name="Total_Sales_Amount" numFmtId="0">
      <sharedItems containsSemiMixedTypes="0" containsString="0" containsNumber="1" containsInteger="1" minValue="3000" maxValue="75000"/>
    </cacheField>
    <cacheField name="Discount" numFmtId="9">
      <sharedItems containsSemiMixedTypes="0" containsString="0" containsNumber="1" minValue="0.05" maxValue="0.1"/>
    </cacheField>
    <cacheField name="Final_Payable_Amount" numFmtId="0">
      <sharedItems containsSemiMixedTypes="0" containsString="0" containsNumber="1" containsInteger="1" minValue="2850" maxValue="7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s v="INV001"/>
    <d v="2024-01-01T00:00:00"/>
    <x v="0"/>
    <s v="C001"/>
    <s v="P101"/>
    <n v="1"/>
    <s v="Laptop"/>
    <x v="0"/>
    <n v="45000"/>
    <x v="0"/>
    <s v="Delhi"/>
    <s v="Retail"/>
    <n v="45000"/>
    <n v="0.05"/>
    <n v="42750"/>
  </r>
  <r>
    <s v="INV002"/>
    <d v="2024-02-15T00:00:00"/>
    <x v="1"/>
    <s v="C002"/>
    <s v="P103"/>
    <n v="5"/>
    <s v="Headphones"/>
    <x v="1"/>
    <n v="2500"/>
    <x v="1"/>
    <s v="Mumbai"/>
    <s v="Wholesale"/>
    <n v="12500"/>
    <n v="0.1"/>
    <n v="11250"/>
  </r>
  <r>
    <s v="INV003"/>
    <d v="2024-03-10T00:00:00"/>
    <x v="2"/>
    <s v="C003"/>
    <s v="P102"/>
    <n v="3"/>
    <s v="Smartphone"/>
    <x v="0"/>
    <n v="25000"/>
    <x v="2"/>
    <s v="Kolkata"/>
    <s v="Retail"/>
    <n v="75000"/>
    <n v="0.05"/>
    <n v="71250"/>
  </r>
  <r>
    <s v="INV004"/>
    <d v="2024-04-05T00:00:00"/>
    <x v="3"/>
    <s v="C004"/>
    <s v="P104"/>
    <n v="2"/>
    <s v="Keyboard"/>
    <x v="1"/>
    <n v="1500"/>
    <x v="3"/>
    <s v="Chennai"/>
    <s v="Retail"/>
    <n v="3000"/>
    <n v="0.05"/>
    <n v="28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L11:M1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numFmtId="9"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ayable_Amount" fld="14" baseField="0" baseItem="0"/>
  </dataFields>
  <formats count="2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9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9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9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9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9" count="0"/>
        </references>
      </pivotArea>
    </format>
    <format dxfId="5">
      <pivotArea dataOnly="0" labelOnly="1" fieldPosition="0">
        <references count="1">
          <reference field="9" count="0"/>
        </references>
      </pivotArea>
    </format>
    <format dxfId="4">
      <pivotArea grandRow="1" outline="0" collapsedLevelsAreSubtotals="1" fieldPosition="0"/>
    </format>
    <format dxfId="3">
      <pivotArea dataOnly="0" labelOnly="1" grandRow="1" outline="0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G11:H14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9" showAll="0"/>
    <pivotField dataFiel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Final_Payable_Amount" fld="14" baseField="0" baseItem="0"/>
  </dataFields>
  <formats count="39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7" type="button" dataOnly="0" labelOnly="1" outline="0" axis="axisRow" fieldPosition="0"/>
    </format>
    <format dxfId="63">
      <pivotArea dataOnly="0" labelOnly="1" outline="0" axis="axisValues" fieldPosition="0"/>
    </format>
    <format dxfId="62">
      <pivotArea dataOnly="0" labelOnly="1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7" type="button" dataOnly="0" labelOnly="1" outline="0" axis="axisRow" fieldPosition="0"/>
    </format>
    <format dxfId="56">
      <pivotArea dataOnly="0" labelOnly="1" outline="0" axis="axisValues" fieldPosition="0"/>
    </format>
    <format dxfId="55">
      <pivotArea dataOnly="0" labelOnly="1" fieldPosition="0">
        <references count="1">
          <reference field="7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7" type="button" dataOnly="0" labelOnly="1" outline="0" axis="axisRow" fieldPosition="0"/>
    </format>
    <format dxfId="49">
      <pivotArea dataOnly="0" labelOnly="1" outline="0" axis="axisValues" fieldPosition="0"/>
    </format>
    <format dxfId="48">
      <pivotArea dataOnly="0" labelOnly="1" fieldPosition="0">
        <references count="1">
          <reference field="7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7" type="button" dataOnly="0" labelOnly="1" outline="0" axis="axisRow" fieldPosition="0"/>
    </format>
    <format dxfId="42">
      <pivotArea dataOnly="0" labelOnly="1" outline="0" axis="axisValues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7" type="button" dataOnly="0" labelOnly="1" outline="0" axis="axisRow" fieldPosition="0"/>
    </format>
    <format dxfId="35">
      <pivotArea dataOnly="0" labelOnly="1" outline="0" axis="axisValues" fieldPosition="0"/>
    </format>
    <format dxfId="34">
      <pivotArea dataOnly="0" labelOnly="1" fieldPosition="0">
        <references count="1">
          <reference field="7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7" count="0"/>
        </references>
      </pivotArea>
    </format>
    <format dxfId="30">
      <pivotArea dataOnly="0" labelOnly="1" fieldPosition="0">
        <references count="1">
          <reference field="7" count="0"/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B11:C16" firstHeaderRow="1" firstDataRow="1" firstDataCol="1"/>
  <pivotFields count="15">
    <pivotField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ayable_Amount" fld="14" baseField="0" baseItem="0" numFmtId="164"/>
  </dataFields>
  <formats count="31">
    <format dxfId="97">
      <pivotArea outline="0" collapsedLevelsAreSubtotals="1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2" type="button" dataOnly="0" labelOnly="1" outline="0" axis="axisRow" fieldPosition="0"/>
    </format>
    <format dxfId="93">
      <pivotArea dataOnly="0" labelOnly="1" outline="0" axis="axisValues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dataOnly="0" labelOnly="1" outline="0" axis="axisValues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outline="0" collapsedLevelsAreSubtotals="1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collapsedLevelsAreSubtotals="1" fieldPosition="0">
        <references count="1">
          <reference field="2" count="0"/>
        </references>
      </pivotArea>
    </format>
    <format dxfId="71">
      <pivotArea dataOnly="0" labelOnly="1" fieldPosition="0">
        <references count="1">
          <reference field="2" count="0"/>
        </references>
      </pivotArea>
    </format>
    <format dxfId="70">
      <pivotArea collapsedLevelsAreSubtotals="1" fieldPosition="0">
        <references count="1">
          <reference field="2" count="0"/>
        </references>
      </pivotArea>
    </format>
    <format dxfId="69">
      <pivotArea dataOnly="0" labelOnly="1" fieldPosition="0">
        <references count="1">
          <reference field="2" count="0"/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J14:N22" totalsRowShown="0" headerRowDxfId="127" dataDxfId="126">
  <autoFilter ref="J14:N22"/>
  <tableColumns count="5">
    <tableColumn id="1" name="Product_ID" dataDxfId="125"/>
    <tableColumn id="2" name="Product_Name" dataDxfId="124"/>
    <tableColumn id="3" name="Category" dataDxfId="123"/>
    <tableColumn id="4" name="Cost_Price" dataDxfId="122"/>
    <tableColumn id="5" name="Selling_Price" dataDxfId="1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13:M17" totalsRowShown="0" headerRowDxfId="120" dataDxfId="119">
  <autoFilter ref="J13:M17"/>
  <tableColumns count="4">
    <tableColumn id="1" name="Customer_ID" dataDxfId="118"/>
    <tableColumn id="2" name="Customer_Name" dataDxfId="117"/>
    <tableColumn id="3" name="City" dataDxfId="116"/>
    <tableColumn id="4" name="Customer_Type" dataDxfId="1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C14:Q18" totalsRowShown="0" headerRowDxfId="114" dataDxfId="113">
  <autoFilter ref="C14:Q18"/>
  <tableColumns count="15">
    <tableColumn id="1" name="Invoice_No" dataDxfId="112"/>
    <tableColumn id="2" name="Date" dataDxfId="111"/>
    <tableColumn id="17" name="Month" dataDxfId="110">
      <calculatedColumnFormula>TEXT(Table3[[#This Row],[Date]], "mmmm")</calculatedColumnFormula>
    </tableColumn>
    <tableColumn id="3" name="Customer_ID" dataDxfId="109"/>
    <tableColumn id="4" name="Product_ID" dataDxfId="108"/>
    <tableColumn id="5" name="Quantity" dataDxfId="107"/>
    <tableColumn id="6" name="Product_Name" dataDxfId="106">
      <calculatedColumnFormula>VLOOKUP(Table3[[#This Row],[Product_ID]],Table1[#All], 2, FALSE)</calculatedColumnFormula>
    </tableColumn>
    <tableColumn id="7" name="Category" dataDxfId="105">
      <calculatedColumnFormula>VLOOKUP(Table3[[#This Row],[Product_ID]], Table1[#All], 3, FALSE)</calculatedColumnFormula>
    </tableColumn>
    <tableColumn id="8" name="Selling_Price" dataDxfId="104">
      <calculatedColumnFormula>VLOOKUP(Table3[[#This Row],[Product_ID]], Table1[#All], 5, FALSE)</calculatedColumnFormula>
    </tableColumn>
    <tableColumn id="9" name="Customer_Name" dataDxfId="103">
      <calculatedColumnFormula>VLOOKUP(Table3[[#This Row],[Customer_ID]], Table2[#All], 2,FALSE)</calculatedColumnFormula>
    </tableColumn>
    <tableColumn id="10" name="City" dataDxfId="102">
      <calculatedColumnFormula>VLOOKUP(Table3[[#This Row],[Customer_ID]], Table2[#All], 3, FALSE)</calculatedColumnFormula>
    </tableColumn>
    <tableColumn id="11" name="Customer_Type" dataDxfId="101">
      <calculatedColumnFormula>VLOOKUP(Table3[[#This Row],[Customer_ID]], Table2[#All], 4, FALSE)</calculatedColumnFormula>
    </tableColumn>
    <tableColumn id="12" name="Total_Sales_Amount" dataDxfId="100">
      <calculatedColumnFormula>SUM(Table3[[#This Row],[Quantity]]*Table3[[#This Row],[Selling_Price]])</calculatedColumnFormula>
    </tableColumn>
    <tableColumn id="13" name="Discount" dataDxfId="99">
      <calculatedColumnFormula>IF(Table3[[#This Row],[Customer_Type]]="Wholesale", 10%, 5%)</calculatedColumnFormula>
    </tableColumn>
    <tableColumn id="14" name="Final_Payable_Amount" dataDxfId="98">
      <calculatedColumnFormula>(Table3[[#This Row],[Total_Sales_Amount]] - (Table3[[#This Row],[Total_Sales_Amount]]*Table3[[#This Row],[Discount]]))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:N22"/>
  <sheetViews>
    <sheetView topLeftCell="B4" zoomScale="88" zoomScaleNormal="88" workbookViewId="0">
      <selection activeCell="L25" sqref="L25"/>
    </sheetView>
  </sheetViews>
  <sheetFormatPr defaultRowHeight="14.4" x14ac:dyDescent="0.3"/>
  <cols>
    <col min="10" max="10" width="18.6640625" customWidth="1"/>
    <col min="11" max="11" width="21.33203125" bestFit="1" customWidth="1"/>
    <col min="12" max="12" width="14.88671875" bestFit="1" customWidth="1"/>
    <col min="13" max="13" width="16.5546875" bestFit="1" customWidth="1"/>
    <col min="14" max="14" width="19.21875" bestFit="1" customWidth="1"/>
  </cols>
  <sheetData>
    <row r="6" spans="10:14" ht="14.4" customHeight="1" x14ac:dyDescent="0.3">
      <c r="J6" s="43" t="s">
        <v>0</v>
      </c>
      <c r="K6" s="43"/>
      <c r="L6" s="43"/>
      <c r="M6" s="43"/>
      <c r="N6" s="43"/>
    </row>
    <row r="7" spans="10:14" ht="14.4" customHeight="1" x14ac:dyDescent="0.3">
      <c r="J7" s="43"/>
      <c r="K7" s="43"/>
      <c r="L7" s="43"/>
      <c r="M7" s="43"/>
      <c r="N7" s="43"/>
    </row>
    <row r="10" spans="10:14" x14ac:dyDescent="0.3">
      <c r="K10" s="44" t="s">
        <v>1</v>
      </c>
      <c r="L10" s="44"/>
      <c r="M10" s="44"/>
    </row>
    <row r="11" spans="10:14" x14ac:dyDescent="0.3">
      <c r="K11" s="44"/>
      <c r="L11" s="44"/>
      <c r="M11" s="44"/>
    </row>
    <row r="14" spans="10:14" ht="18" x14ac:dyDescent="0.3">
      <c r="J14" s="1" t="s">
        <v>2</v>
      </c>
      <c r="K14" s="1" t="s">
        <v>3</v>
      </c>
      <c r="L14" s="1" t="s">
        <v>4</v>
      </c>
      <c r="M14" s="1" t="s">
        <v>5</v>
      </c>
      <c r="N14" s="1" t="s">
        <v>6</v>
      </c>
    </row>
    <row r="15" spans="10:14" ht="15.6" x14ac:dyDescent="0.3">
      <c r="J15" s="2" t="s">
        <v>7</v>
      </c>
      <c r="K15" s="2" t="s">
        <v>15</v>
      </c>
      <c r="L15" s="2" t="s">
        <v>23</v>
      </c>
      <c r="M15" s="2">
        <v>35000</v>
      </c>
      <c r="N15" s="2">
        <v>45000</v>
      </c>
    </row>
    <row r="16" spans="10:14" ht="15.6" x14ac:dyDescent="0.3">
      <c r="J16" s="2" t="s">
        <v>8</v>
      </c>
      <c r="K16" s="2" t="s">
        <v>16</v>
      </c>
      <c r="L16" s="2" t="s">
        <v>23</v>
      </c>
      <c r="M16" s="2">
        <v>18000</v>
      </c>
      <c r="N16" s="2">
        <v>25000</v>
      </c>
    </row>
    <row r="17" spans="10:14" ht="15.6" x14ac:dyDescent="0.3">
      <c r="J17" s="2" t="s">
        <v>9</v>
      </c>
      <c r="K17" s="2" t="s">
        <v>17</v>
      </c>
      <c r="L17" s="2" t="s">
        <v>24</v>
      </c>
      <c r="M17" s="2">
        <v>1200</v>
      </c>
      <c r="N17" s="2">
        <v>2500</v>
      </c>
    </row>
    <row r="18" spans="10:14" ht="15.6" x14ac:dyDescent="0.3">
      <c r="J18" s="2" t="s">
        <v>10</v>
      </c>
      <c r="K18" s="2" t="s">
        <v>18</v>
      </c>
      <c r="L18" s="2" t="s">
        <v>24</v>
      </c>
      <c r="M18" s="2">
        <v>700</v>
      </c>
      <c r="N18" s="2">
        <v>1500</v>
      </c>
    </row>
    <row r="19" spans="10:14" ht="15.6" x14ac:dyDescent="0.3">
      <c r="J19" s="2" t="s">
        <v>11</v>
      </c>
      <c r="K19" s="2" t="s">
        <v>19</v>
      </c>
      <c r="L19" s="2" t="s">
        <v>25</v>
      </c>
      <c r="M19" s="2">
        <v>4200</v>
      </c>
      <c r="N19" s="2">
        <v>8000</v>
      </c>
    </row>
    <row r="20" spans="10:14" ht="15.6" x14ac:dyDescent="0.3">
      <c r="J20" s="2" t="s">
        <v>12</v>
      </c>
      <c r="K20" s="2" t="s">
        <v>20</v>
      </c>
      <c r="L20" s="2" t="s">
        <v>25</v>
      </c>
      <c r="M20" s="2">
        <v>5500</v>
      </c>
      <c r="N20" s="2">
        <v>11000</v>
      </c>
    </row>
    <row r="21" spans="10:14" ht="15.6" x14ac:dyDescent="0.3">
      <c r="J21" s="2" t="s">
        <v>13</v>
      </c>
      <c r="K21" s="2" t="s">
        <v>21</v>
      </c>
      <c r="L21" s="2" t="s">
        <v>23</v>
      </c>
      <c r="M21" s="2">
        <v>6000</v>
      </c>
      <c r="N21" s="2">
        <v>9500</v>
      </c>
    </row>
    <row r="22" spans="10:14" ht="15.6" x14ac:dyDescent="0.3">
      <c r="J22" s="2" t="s">
        <v>14</v>
      </c>
      <c r="K22" s="2" t="s">
        <v>22</v>
      </c>
      <c r="L22" s="2" t="s">
        <v>23</v>
      </c>
      <c r="M22" s="2">
        <v>7000</v>
      </c>
      <c r="N22" s="2">
        <v>14000</v>
      </c>
    </row>
  </sheetData>
  <mergeCells count="2">
    <mergeCell ref="J6:N7"/>
    <mergeCell ref="K10:M1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6:N17"/>
  <sheetViews>
    <sheetView topLeftCell="C1" zoomScaleNormal="100" workbookViewId="0">
      <selection activeCell="J22" sqref="J22"/>
    </sheetView>
  </sheetViews>
  <sheetFormatPr defaultRowHeight="14.4" x14ac:dyDescent="0.3"/>
  <cols>
    <col min="10" max="10" width="19.33203125" bestFit="1" customWidth="1"/>
    <col min="11" max="11" width="23.44140625" bestFit="1" customWidth="1"/>
    <col min="12" max="12" width="14.109375" customWidth="1"/>
    <col min="13" max="13" width="22.21875" bestFit="1" customWidth="1"/>
  </cols>
  <sheetData>
    <row r="6" spans="9:14" ht="14.4" customHeight="1" x14ac:dyDescent="0.3">
      <c r="I6" s="43" t="s">
        <v>26</v>
      </c>
      <c r="J6" s="43"/>
      <c r="K6" s="43"/>
      <c r="L6" s="43"/>
      <c r="M6" s="43"/>
      <c r="N6" s="43"/>
    </row>
    <row r="7" spans="9:14" ht="14.4" customHeight="1" x14ac:dyDescent="0.3">
      <c r="I7" s="43"/>
      <c r="J7" s="43"/>
      <c r="K7" s="43"/>
      <c r="L7" s="43"/>
      <c r="M7" s="43"/>
      <c r="N7" s="43"/>
    </row>
    <row r="9" spans="9:14" ht="21" customHeight="1" x14ac:dyDescent="0.3">
      <c r="J9" s="44" t="s">
        <v>27</v>
      </c>
      <c r="K9" s="44"/>
      <c r="L9" s="44"/>
      <c r="M9" s="44"/>
    </row>
    <row r="10" spans="9:14" ht="14.4" customHeight="1" x14ac:dyDescent="0.3">
      <c r="J10" s="44"/>
      <c r="K10" s="44"/>
      <c r="L10" s="44"/>
      <c r="M10" s="44"/>
    </row>
    <row r="13" spans="9:14" ht="18" x14ac:dyDescent="0.3">
      <c r="J13" s="1" t="s">
        <v>28</v>
      </c>
      <c r="K13" s="1" t="s">
        <v>29</v>
      </c>
      <c r="L13" s="1" t="s">
        <v>30</v>
      </c>
      <c r="M13" s="1" t="s">
        <v>31</v>
      </c>
    </row>
    <row r="14" spans="9:14" ht="15.6" x14ac:dyDescent="0.3">
      <c r="J14" s="2" t="s">
        <v>32</v>
      </c>
      <c r="K14" s="2" t="s">
        <v>36</v>
      </c>
      <c r="L14" s="2" t="s">
        <v>40</v>
      </c>
      <c r="M14" s="2" t="s">
        <v>44</v>
      </c>
    </row>
    <row r="15" spans="9:14" ht="15.6" x14ac:dyDescent="0.3">
      <c r="J15" s="2" t="s">
        <v>33</v>
      </c>
      <c r="K15" s="2" t="s">
        <v>37</v>
      </c>
      <c r="L15" s="2" t="s">
        <v>41</v>
      </c>
      <c r="M15" s="2" t="s">
        <v>45</v>
      </c>
    </row>
    <row r="16" spans="9:14" ht="15.6" x14ac:dyDescent="0.3">
      <c r="J16" s="2" t="s">
        <v>34</v>
      </c>
      <c r="K16" s="2" t="s">
        <v>38</v>
      </c>
      <c r="L16" s="2" t="s">
        <v>42</v>
      </c>
      <c r="M16" s="2" t="s">
        <v>44</v>
      </c>
    </row>
    <row r="17" spans="10:13" ht="15.6" x14ac:dyDescent="0.3">
      <c r="J17" s="2" t="s">
        <v>35</v>
      </c>
      <c r="K17" s="2" t="s">
        <v>39</v>
      </c>
      <c r="L17" s="2" t="s">
        <v>43</v>
      </c>
      <c r="M17" s="2" t="s">
        <v>44</v>
      </c>
    </row>
  </sheetData>
  <mergeCells count="2">
    <mergeCell ref="J9:M10"/>
    <mergeCell ref="I6:N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U38"/>
  <sheetViews>
    <sheetView tabSelected="1" topLeftCell="C1" zoomScale="60" zoomScaleNormal="60" workbookViewId="0">
      <selection activeCell="M35" sqref="M35:O35"/>
    </sheetView>
  </sheetViews>
  <sheetFormatPr defaultRowHeight="14.4" x14ac:dyDescent="0.3"/>
  <cols>
    <col min="3" max="3" width="20.109375" bestFit="1" customWidth="1"/>
    <col min="4" max="4" width="12.44140625" bestFit="1" customWidth="1"/>
    <col min="5" max="5" width="14.88671875" bestFit="1" customWidth="1"/>
    <col min="6" max="6" width="21.88671875" bestFit="1" customWidth="1"/>
    <col min="7" max="7" width="20" bestFit="1" customWidth="1"/>
    <col min="8" max="8" width="17" bestFit="1" customWidth="1"/>
    <col min="9" max="9" width="25.5546875" bestFit="1" customWidth="1"/>
    <col min="10" max="10" width="22" customWidth="1"/>
    <col min="11" max="11" width="22.109375" customWidth="1"/>
    <col min="12" max="12" width="26.33203125" bestFit="1" customWidth="1"/>
    <col min="13" max="13" width="17.44140625" customWidth="1"/>
    <col min="14" max="14" width="26.44140625" customWidth="1"/>
    <col min="15" max="15" width="30.77734375" bestFit="1" customWidth="1"/>
    <col min="16" max="16" width="24.109375" customWidth="1"/>
    <col min="17" max="17" width="38.44140625" customWidth="1"/>
    <col min="18" max="18" width="17.33203125" bestFit="1" customWidth="1"/>
    <col min="19" max="19" width="21.44140625" bestFit="1" customWidth="1"/>
    <col min="20" max="20" width="26.33203125" bestFit="1" customWidth="1"/>
    <col min="21" max="21" width="11.5546875" customWidth="1"/>
  </cols>
  <sheetData>
    <row r="4" spans="3:21" ht="14.4" customHeight="1" x14ac:dyDescent="0.3">
      <c r="I4" s="51" t="s">
        <v>46</v>
      </c>
      <c r="J4" s="51"/>
      <c r="K4" s="51"/>
      <c r="L4" s="51"/>
    </row>
    <row r="5" spans="3:21" ht="35.4" customHeight="1" x14ac:dyDescent="0.3">
      <c r="C5" s="12"/>
      <c r="D5" s="12"/>
      <c r="E5" s="12"/>
      <c r="I5" s="51"/>
      <c r="J5" s="51"/>
      <c r="K5" s="51"/>
      <c r="L5" s="51"/>
    </row>
    <row r="6" spans="3:21" ht="14.4" customHeight="1" x14ac:dyDescent="0.3">
      <c r="C6" s="12"/>
      <c r="D6" s="12"/>
      <c r="E6" s="12"/>
      <c r="I6" s="13"/>
      <c r="J6" s="13"/>
      <c r="K6" s="13"/>
      <c r="L6" s="13"/>
      <c r="M6" s="13"/>
    </row>
    <row r="7" spans="3:21" ht="25.8" customHeight="1" x14ac:dyDescent="0.3">
      <c r="C7" s="12"/>
      <c r="D7" s="12"/>
      <c r="E7" s="12"/>
      <c r="I7" s="13"/>
      <c r="J7" s="52" t="s">
        <v>47</v>
      </c>
      <c r="K7" s="52"/>
      <c r="L7" s="13"/>
      <c r="M7" s="13"/>
      <c r="N7" s="12"/>
      <c r="O7" s="12"/>
      <c r="P7" s="12"/>
      <c r="S7" t="s">
        <v>55</v>
      </c>
    </row>
    <row r="8" spans="3:21" ht="14.4" customHeight="1" x14ac:dyDescent="0.3">
      <c r="J8" s="52"/>
      <c r="K8" s="52"/>
      <c r="L8" s="12"/>
      <c r="M8" s="12"/>
      <c r="N8" s="12"/>
      <c r="O8" s="12"/>
      <c r="P8" s="12"/>
    </row>
    <row r="9" spans="3:21" ht="21" customHeight="1" x14ac:dyDescent="0.4">
      <c r="C9" s="11"/>
      <c r="D9" s="11"/>
      <c r="M9" s="3"/>
    </row>
    <row r="10" spans="3:21" ht="21" customHeight="1" x14ac:dyDescent="0.3">
      <c r="C10" s="11"/>
      <c r="D10" s="11"/>
      <c r="J10" s="25"/>
      <c r="K10" s="25"/>
      <c r="L10" s="25"/>
      <c r="M10" s="11"/>
      <c r="N10" s="11"/>
      <c r="O10" s="11"/>
    </row>
    <row r="11" spans="3:21" ht="14.4" customHeight="1" x14ac:dyDescent="0.3">
      <c r="J11" s="25"/>
      <c r="K11" s="25"/>
      <c r="L11" s="25"/>
      <c r="M11" s="11"/>
      <c r="N11" s="11"/>
      <c r="O11" s="11"/>
    </row>
    <row r="13" spans="3:21" ht="18" x14ac:dyDescent="0.3">
      <c r="L13" s="1"/>
      <c r="M13" s="1"/>
      <c r="N13" s="1"/>
      <c r="O13" s="1"/>
      <c r="P13" s="1"/>
      <c r="Q13" s="5"/>
      <c r="R13" s="5"/>
      <c r="S13" s="5"/>
      <c r="T13" s="5"/>
      <c r="U13" s="5"/>
    </row>
    <row r="14" spans="3:21" ht="18" x14ac:dyDescent="0.3">
      <c r="C14" s="7" t="s">
        <v>48</v>
      </c>
      <c r="D14" s="7" t="s">
        <v>49</v>
      </c>
      <c r="E14" s="7" t="s">
        <v>59</v>
      </c>
      <c r="F14" s="7" t="s">
        <v>28</v>
      </c>
      <c r="G14" s="7" t="s">
        <v>2</v>
      </c>
      <c r="H14" s="7" t="s">
        <v>50</v>
      </c>
      <c r="I14" s="7" t="s">
        <v>3</v>
      </c>
      <c r="J14" s="7" t="s">
        <v>4</v>
      </c>
      <c r="K14" s="7" t="s">
        <v>6</v>
      </c>
      <c r="L14" s="7" t="s">
        <v>29</v>
      </c>
      <c r="M14" s="8" t="s">
        <v>30</v>
      </c>
      <c r="N14" s="7" t="s">
        <v>31</v>
      </c>
      <c r="O14" s="7" t="s">
        <v>56</v>
      </c>
      <c r="P14" s="7" t="s">
        <v>57</v>
      </c>
      <c r="Q14" s="9" t="s">
        <v>58</v>
      </c>
      <c r="R14" s="4"/>
      <c r="S14" s="4"/>
      <c r="T14" s="6"/>
      <c r="U14" s="6"/>
    </row>
    <row r="15" spans="3:21" ht="15.6" x14ac:dyDescent="0.3">
      <c r="C15" s="14" t="s">
        <v>51</v>
      </c>
      <c r="D15" s="15">
        <v>45292</v>
      </c>
      <c r="E15" s="16" t="str">
        <f>TEXT(Table3[[#This Row],[Date]], "mmmm")</f>
        <v>January</v>
      </c>
      <c r="F15" s="14" t="s">
        <v>32</v>
      </c>
      <c r="G15" s="14" t="s">
        <v>7</v>
      </c>
      <c r="H15" s="14">
        <v>1</v>
      </c>
      <c r="I15" s="14" t="str">
        <f>VLOOKUP(Table3[[#This Row],[Product_ID]],Table1[#All], 2, FALSE)</f>
        <v>Laptop</v>
      </c>
      <c r="J15" s="14" t="str">
        <f>VLOOKUP(Table3[[#This Row],[Product_ID]], Table1[#All], 3, FALSE)</f>
        <v>Electronics</v>
      </c>
      <c r="K15" s="14">
        <f>VLOOKUP(Table3[[#This Row],[Product_ID]], Table1[#All], 5, FALSE)</f>
        <v>45000</v>
      </c>
      <c r="L15" s="14" t="str">
        <f>VLOOKUP(Table3[[#This Row],[Customer_ID]], Table2[#All], 2,FALSE)</f>
        <v>Rahul</v>
      </c>
      <c r="M15" s="15" t="str">
        <f>VLOOKUP(Table3[[#This Row],[Customer_ID]], Table2[#All], 3, FALSE)</f>
        <v>Delhi</v>
      </c>
      <c r="N15" s="14" t="str">
        <f>VLOOKUP(Table3[[#This Row],[Customer_ID]], Table2[#All], 4, FALSE)</f>
        <v>Retail</v>
      </c>
      <c r="O15" s="17">
        <f>SUM(Table3[[#This Row],[Quantity]]*Table3[[#This Row],[Selling_Price]])</f>
        <v>45000</v>
      </c>
      <c r="P15" s="18">
        <f>IF(Table3[[#This Row],[Customer_Type]]="Wholesale", 10%, 5%)</f>
        <v>0.05</v>
      </c>
      <c r="Q15" s="19">
        <f>(Table3[[#This Row],[Total_Sales_Amount]] - (Table3[[#This Row],[Total_Sales_Amount]]*Table3[[#This Row],[Discount]]))</f>
        <v>42750</v>
      </c>
      <c r="R15" s="4"/>
      <c r="S15" s="4"/>
      <c r="T15" s="6"/>
      <c r="U15" s="6"/>
    </row>
    <row r="16" spans="3:21" ht="15.6" x14ac:dyDescent="0.3">
      <c r="C16" s="14" t="s">
        <v>52</v>
      </c>
      <c r="D16" s="15">
        <v>45337</v>
      </c>
      <c r="E16" s="17" t="str">
        <f>TEXT(Table3[[#This Row],[Date]], "mmmm")</f>
        <v>February</v>
      </c>
      <c r="F16" s="14" t="s">
        <v>33</v>
      </c>
      <c r="G16" s="14" t="s">
        <v>9</v>
      </c>
      <c r="H16" s="14">
        <v>5</v>
      </c>
      <c r="I16" s="14" t="str">
        <f>VLOOKUP(Table3[[#This Row],[Product_ID]],Table1[#All], 2, FALSE)</f>
        <v>Headphones</v>
      </c>
      <c r="J16" s="14" t="str">
        <f>VLOOKUP(Table3[[#This Row],[Product_ID]], Table1[#All], 3, FALSE)</f>
        <v>Accessories</v>
      </c>
      <c r="K16" s="14">
        <f>VLOOKUP(Table3[[#This Row],[Product_ID]], Table1[#All], 5, FALSE)</f>
        <v>2500</v>
      </c>
      <c r="L16" s="14" t="str">
        <f>VLOOKUP(Table3[[#This Row],[Customer_ID]], Table2[#All], 2,FALSE)</f>
        <v>Sneha</v>
      </c>
      <c r="M16" s="15" t="str">
        <f>VLOOKUP(Table3[[#This Row],[Customer_ID]], Table2[#All], 3, FALSE)</f>
        <v>Mumbai</v>
      </c>
      <c r="N16" s="14" t="str">
        <f>VLOOKUP(Table3[[#This Row],[Customer_ID]], Table2[#All], 4, FALSE)</f>
        <v>Wholesale</v>
      </c>
      <c r="O16" s="17">
        <f>SUM(Table3[[#This Row],[Quantity]]*Table3[[#This Row],[Selling_Price]])</f>
        <v>12500</v>
      </c>
      <c r="P16" s="18">
        <f>IF(Table3[[#This Row],[Customer_Type]]="Wholesale", 10%, 5%)</f>
        <v>0.1</v>
      </c>
      <c r="Q16" s="19">
        <f>(Table3[[#This Row],[Total_Sales_Amount]] - (Table3[[#This Row],[Total_Sales_Amount]]*Table3[[#This Row],[Discount]]))</f>
        <v>11250</v>
      </c>
      <c r="R16" s="4"/>
      <c r="S16" s="4"/>
      <c r="T16" s="6"/>
      <c r="U16" s="6"/>
    </row>
    <row r="17" spans="3:21" ht="15.6" x14ac:dyDescent="0.3">
      <c r="C17" s="14" t="s">
        <v>53</v>
      </c>
      <c r="D17" s="15">
        <v>45361</v>
      </c>
      <c r="E17" s="17" t="str">
        <f>TEXT(Table3[[#This Row],[Date]], "mmmm")</f>
        <v>March</v>
      </c>
      <c r="F17" s="14" t="s">
        <v>34</v>
      </c>
      <c r="G17" s="14" t="s">
        <v>8</v>
      </c>
      <c r="H17" s="14">
        <v>3</v>
      </c>
      <c r="I17" s="14" t="str">
        <f>VLOOKUP(Table3[[#This Row],[Product_ID]],Table1[#All], 2, FALSE)</f>
        <v>Smartphone</v>
      </c>
      <c r="J17" s="14" t="str">
        <f>VLOOKUP(Table3[[#This Row],[Product_ID]], Table1[#All], 3, FALSE)</f>
        <v>Electronics</v>
      </c>
      <c r="K17" s="14">
        <f>VLOOKUP(Table3[[#This Row],[Product_ID]], Table1[#All], 5, FALSE)</f>
        <v>25000</v>
      </c>
      <c r="L17" s="14" t="str">
        <f>VLOOKUP(Table3[[#This Row],[Customer_ID]], Table2[#All], 2,FALSE)</f>
        <v>Aman</v>
      </c>
      <c r="M17" s="15" t="str">
        <f>VLOOKUP(Table3[[#This Row],[Customer_ID]], Table2[#All], 3, FALSE)</f>
        <v>Kolkata</v>
      </c>
      <c r="N17" s="14" t="str">
        <f>VLOOKUP(Table3[[#This Row],[Customer_ID]], Table2[#All], 4, FALSE)</f>
        <v>Retail</v>
      </c>
      <c r="O17" s="17">
        <f>SUM(Table3[[#This Row],[Quantity]]*Table3[[#This Row],[Selling_Price]])</f>
        <v>75000</v>
      </c>
      <c r="P17" s="18">
        <f>IF(Table3[[#This Row],[Customer_Type]]="Wholesale", 10%, 5%)</f>
        <v>0.05</v>
      </c>
      <c r="Q17" s="19">
        <f>(Table3[[#This Row],[Total_Sales_Amount]] - (Table3[[#This Row],[Total_Sales_Amount]]*Table3[[#This Row],[Discount]]))</f>
        <v>71250</v>
      </c>
      <c r="R17" s="4"/>
      <c r="S17" s="4"/>
      <c r="T17" s="6"/>
      <c r="U17" s="6"/>
    </row>
    <row r="18" spans="3:21" ht="15.6" x14ac:dyDescent="0.3">
      <c r="C18" s="20" t="s">
        <v>54</v>
      </c>
      <c r="D18" s="21">
        <v>45387</v>
      </c>
      <c r="E18" s="22" t="str">
        <f>TEXT(Table3[[#This Row],[Date]], "mmmm")</f>
        <v>April</v>
      </c>
      <c r="F18" s="20" t="s">
        <v>35</v>
      </c>
      <c r="G18" s="20" t="s">
        <v>10</v>
      </c>
      <c r="H18" s="20">
        <v>2</v>
      </c>
      <c r="I18" s="20" t="str">
        <f>VLOOKUP(Table3[[#This Row],[Product_ID]],Table1[#All], 2, FALSE)</f>
        <v>Keyboard</v>
      </c>
      <c r="J18" s="20" t="str">
        <f>VLOOKUP(Table3[[#This Row],[Product_ID]], Table1[#All], 3, FALSE)</f>
        <v>Accessories</v>
      </c>
      <c r="K18" s="20">
        <f>VLOOKUP(Table3[[#This Row],[Product_ID]], Table1[#All], 5, FALSE)</f>
        <v>1500</v>
      </c>
      <c r="L18" s="20" t="str">
        <f>VLOOKUP(Table3[[#This Row],[Customer_ID]], Table2[#All], 2,FALSE)</f>
        <v>Neha</v>
      </c>
      <c r="M18" s="21" t="str">
        <f>VLOOKUP(Table3[[#This Row],[Customer_ID]], Table2[#All], 3, FALSE)</f>
        <v>Chennai</v>
      </c>
      <c r="N18" s="20" t="str">
        <f>VLOOKUP(Table3[[#This Row],[Customer_ID]], Table2[#All], 4, FALSE)</f>
        <v>Retail</v>
      </c>
      <c r="O18" s="22">
        <f>SUM(Table3[[#This Row],[Quantity]]*Table3[[#This Row],[Selling_Price]])</f>
        <v>3000</v>
      </c>
      <c r="P18" s="23">
        <f>IF(Table3[[#This Row],[Customer_Type]]="Wholesale", 10%, 5%)</f>
        <v>0.05</v>
      </c>
      <c r="Q18" s="24">
        <f>(Table3[[#This Row],[Total_Sales_Amount]] - (Table3[[#This Row],[Total_Sales_Amount]]*Table3[[#This Row],[Discount]]))</f>
        <v>2850</v>
      </c>
    </row>
    <row r="24" spans="3:21" ht="14.4" customHeight="1" x14ac:dyDescent="0.3">
      <c r="J24" s="48" t="s">
        <v>60</v>
      </c>
      <c r="K24" s="48"/>
      <c r="M24" s="54" t="s">
        <v>84</v>
      </c>
      <c r="N24" s="54"/>
      <c r="O24" s="54"/>
    </row>
    <row r="25" spans="3:21" ht="14.4" customHeight="1" x14ac:dyDescent="0.3">
      <c r="J25" s="48"/>
      <c r="K25" s="48"/>
      <c r="M25" s="54"/>
      <c r="N25" s="54"/>
      <c r="O25" s="54"/>
    </row>
    <row r="26" spans="3:21" x14ac:dyDescent="0.3">
      <c r="G26" s="10"/>
      <c r="J26" s="48"/>
      <c r="K26" s="48"/>
      <c r="M26" s="54"/>
      <c r="N26" s="54"/>
      <c r="O26" s="54"/>
    </row>
    <row r="27" spans="3:21" x14ac:dyDescent="0.3">
      <c r="J27" s="50" t="s">
        <v>82</v>
      </c>
      <c r="K27" s="50"/>
      <c r="M27" s="55"/>
      <c r="N27" s="57" t="s">
        <v>85</v>
      </c>
      <c r="O27" s="57"/>
    </row>
    <row r="28" spans="3:21" ht="14.4" customHeight="1" x14ac:dyDescent="0.3">
      <c r="J28" s="50"/>
      <c r="K28" s="50"/>
      <c r="M28" s="55"/>
      <c r="N28" s="57"/>
      <c r="O28" s="57"/>
    </row>
    <row r="29" spans="3:21" ht="21" x14ac:dyDescent="0.3">
      <c r="J29" s="49" t="s">
        <v>61</v>
      </c>
      <c r="K29" s="49" t="s">
        <v>62</v>
      </c>
      <c r="M29" s="55"/>
      <c r="N29" s="57"/>
      <c r="O29" s="57"/>
    </row>
    <row r="30" spans="3:21" ht="24.6" customHeight="1" x14ac:dyDescent="0.3">
      <c r="J30" s="26" t="s">
        <v>63</v>
      </c>
      <c r="K30" s="27">
        <f>SUM(Table3[Final_Payable_Amount])</f>
        <v>128100</v>
      </c>
      <c r="M30" s="55"/>
      <c r="N30" s="57"/>
      <c r="O30" s="57"/>
    </row>
    <row r="31" spans="3:21" ht="19.8" customHeight="1" x14ac:dyDescent="0.3">
      <c r="J31" s="26" t="s">
        <v>64</v>
      </c>
      <c r="K31" s="27">
        <f>SUMIF(Table3[Customer_Type], "Retail", Table3[Final_Payable_Amount])</f>
        <v>116850</v>
      </c>
      <c r="M31" s="61"/>
      <c r="N31" s="62"/>
      <c r="O31" s="63"/>
    </row>
    <row r="32" spans="3:21" ht="18.600000000000001" customHeight="1" x14ac:dyDescent="0.3">
      <c r="J32" s="26" t="s">
        <v>65</v>
      </c>
      <c r="K32" s="27">
        <f>SUMIF(Table3[Customer_Type], "Wholesale", Table3[Final_Payable_Amount])</f>
        <v>11250</v>
      </c>
      <c r="M32" s="56"/>
      <c r="N32" s="57" t="s">
        <v>86</v>
      </c>
      <c r="O32" s="57"/>
    </row>
    <row r="33" spans="10:15" ht="21" customHeight="1" x14ac:dyDescent="0.3">
      <c r="J33" s="26" t="s">
        <v>66</v>
      </c>
      <c r="K33" s="27">
        <f>SUMIF(Table3[Category], "Electronics", Table3[Final_Payable_Amount])</f>
        <v>114000</v>
      </c>
      <c r="M33" s="56"/>
      <c r="N33" s="57"/>
      <c r="O33" s="57"/>
    </row>
    <row r="34" spans="10:15" ht="18" customHeight="1" x14ac:dyDescent="0.3">
      <c r="J34" s="26" t="s">
        <v>67</v>
      </c>
      <c r="K34" s="27">
        <f>SUMIF(Table3[Category], "Accessories", Table3[Final_Payable_Amount])</f>
        <v>14100</v>
      </c>
      <c r="M34" s="56"/>
      <c r="N34" s="57"/>
      <c r="O34" s="57"/>
    </row>
    <row r="35" spans="10:15" ht="20.399999999999999" customHeight="1" x14ac:dyDescent="0.3">
      <c r="J35" s="26" t="s">
        <v>68</v>
      </c>
      <c r="K35" s="27" t="str">
        <f>INDEX(Table3[Customer_Name], MATCH(MAX(Table3[Final_Payable_Amount], ), Table3[Final_Payable_Amount], 0))</f>
        <v>Aman</v>
      </c>
      <c r="M35" s="61"/>
      <c r="N35" s="62"/>
      <c r="O35" s="63"/>
    </row>
    <row r="36" spans="10:15" ht="21.6" customHeight="1" x14ac:dyDescent="0.3">
      <c r="J36" s="26" t="s">
        <v>69</v>
      </c>
      <c r="K36" s="27" t="str">
        <f>INDEX(Table3[Product_Name], MATCH(MAX(Table3[Quantity]), Table3[Quantity], 0))</f>
        <v>Headphones</v>
      </c>
      <c r="M36" s="58"/>
      <c r="N36" s="57" t="s">
        <v>87</v>
      </c>
      <c r="O36" s="57"/>
    </row>
    <row r="37" spans="10:15" ht="19.8" customHeight="1" x14ac:dyDescent="0.3">
      <c r="J37" s="26" t="s">
        <v>70</v>
      </c>
      <c r="K37" s="27">
        <f>SUM(Table3[Quantity])</f>
        <v>11</v>
      </c>
      <c r="M37" s="59"/>
      <c r="N37" s="57"/>
      <c r="O37" s="57"/>
    </row>
    <row r="38" spans="10:15" x14ac:dyDescent="0.3">
      <c r="M38" s="60"/>
      <c r="N38" s="57"/>
      <c r="O38" s="57"/>
    </row>
  </sheetData>
  <mergeCells count="13">
    <mergeCell ref="M32:M34"/>
    <mergeCell ref="N32:O34"/>
    <mergeCell ref="N36:O38"/>
    <mergeCell ref="M36:M38"/>
    <mergeCell ref="M31:O31"/>
    <mergeCell ref="M35:O35"/>
    <mergeCell ref="M24:O26"/>
    <mergeCell ref="N27:O30"/>
    <mergeCell ref="M27:M30"/>
    <mergeCell ref="J24:K26"/>
    <mergeCell ref="J27:K28"/>
    <mergeCell ref="J7:K8"/>
    <mergeCell ref="I4:L5"/>
  </mergeCells>
  <conditionalFormatting sqref="C15:Q18">
    <cfRule type="expression" dxfId="2" priority="2">
      <formula>$Q15&gt;50000</formula>
    </cfRule>
    <cfRule type="expression" dxfId="1" priority="3">
      <formula>$N15="Wholesale"</formula>
    </cfRule>
  </conditionalFormatting>
  <conditionalFormatting sqref="H15:H18">
    <cfRule type="cellIs" dxfId="0" priority="1" operator="greaterThanOrEqual">
      <formula>5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18"/>
  <sheetViews>
    <sheetView workbookViewId="0">
      <selection activeCell="M12" sqref="M12"/>
    </sheetView>
  </sheetViews>
  <sheetFormatPr defaultRowHeight="14.4" x14ac:dyDescent="0.3"/>
  <cols>
    <col min="2" max="2" width="15.44140625" customWidth="1"/>
    <col min="3" max="3" width="27.33203125" bestFit="1" customWidth="1"/>
    <col min="7" max="7" width="14.77734375" bestFit="1" customWidth="1"/>
    <col min="8" max="8" width="27.33203125" bestFit="1" customWidth="1"/>
    <col min="12" max="12" width="12.5546875" bestFit="1" customWidth="1"/>
    <col min="13" max="13" width="27.33203125" bestFit="1" customWidth="1"/>
  </cols>
  <sheetData>
    <row r="4" spans="2:13" ht="14.4" customHeight="1" x14ac:dyDescent="0.3">
      <c r="G4" s="43" t="s">
        <v>78</v>
      </c>
      <c r="H4" s="43"/>
    </row>
    <row r="5" spans="2:13" ht="14.4" customHeight="1" x14ac:dyDescent="0.3">
      <c r="G5" s="43"/>
      <c r="H5" s="43"/>
    </row>
    <row r="6" spans="2:13" x14ac:dyDescent="0.3">
      <c r="G6" s="43"/>
      <c r="H6" s="43"/>
    </row>
    <row r="11" spans="2:13" x14ac:dyDescent="0.3">
      <c r="B11" s="28" t="s">
        <v>71</v>
      </c>
      <c r="C11" s="29" t="s">
        <v>77</v>
      </c>
      <c r="G11" s="34" t="s">
        <v>71</v>
      </c>
      <c r="H11" s="35" t="s">
        <v>77</v>
      </c>
      <c r="L11" s="28" t="s">
        <v>71</v>
      </c>
      <c r="M11" s="29" t="s">
        <v>77</v>
      </c>
    </row>
    <row r="12" spans="2:13" x14ac:dyDescent="0.3">
      <c r="B12" s="30" t="s">
        <v>72</v>
      </c>
      <c r="C12" s="31">
        <v>42750</v>
      </c>
      <c r="G12" s="36" t="s">
        <v>24</v>
      </c>
      <c r="H12" s="37">
        <v>14100</v>
      </c>
      <c r="L12" s="30" t="s">
        <v>38</v>
      </c>
      <c r="M12" s="40">
        <v>71250</v>
      </c>
    </row>
    <row r="13" spans="2:13" x14ac:dyDescent="0.3">
      <c r="B13" s="30" t="s">
        <v>73</v>
      </c>
      <c r="C13" s="31">
        <v>11250</v>
      </c>
      <c r="G13" s="36" t="s">
        <v>23</v>
      </c>
      <c r="H13" s="37">
        <v>114000</v>
      </c>
      <c r="L13" s="30" t="s">
        <v>39</v>
      </c>
      <c r="M13" s="40">
        <v>2850</v>
      </c>
    </row>
    <row r="14" spans="2:13" x14ac:dyDescent="0.3">
      <c r="B14" s="30" t="s">
        <v>74</v>
      </c>
      <c r="C14" s="31">
        <v>71250</v>
      </c>
      <c r="G14" s="38" t="s">
        <v>76</v>
      </c>
      <c r="H14" s="39">
        <v>128100</v>
      </c>
      <c r="L14" s="30" t="s">
        <v>36</v>
      </c>
      <c r="M14" s="40">
        <v>42750</v>
      </c>
    </row>
    <row r="15" spans="2:13" x14ac:dyDescent="0.3">
      <c r="B15" s="30" t="s">
        <v>75</v>
      </c>
      <c r="C15" s="31">
        <v>2850</v>
      </c>
      <c r="G15" s="45" t="s">
        <v>79</v>
      </c>
      <c r="H15" s="45"/>
      <c r="L15" s="30" t="s">
        <v>37</v>
      </c>
      <c r="M15" s="40">
        <v>11250</v>
      </c>
    </row>
    <row r="16" spans="2:13" x14ac:dyDescent="0.3">
      <c r="B16" s="32" t="s">
        <v>76</v>
      </c>
      <c r="C16" s="33">
        <v>128100</v>
      </c>
      <c r="G16" s="45"/>
      <c r="H16" s="45"/>
      <c r="L16" s="41" t="s">
        <v>76</v>
      </c>
      <c r="M16" s="42">
        <v>128100</v>
      </c>
    </row>
    <row r="17" spans="2:13" x14ac:dyDescent="0.3">
      <c r="B17" s="46" t="s">
        <v>80</v>
      </c>
      <c r="C17" s="46"/>
      <c r="G17" s="45"/>
      <c r="H17" s="45"/>
      <c r="L17" s="47" t="s">
        <v>81</v>
      </c>
      <c r="M17" s="47"/>
    </row>
    <row r="18" spans="2:13" ht="22.2" customHeight="1" x14ac:dyDescent="0.3">
      <c r="B18" s="46"/>
      <c r="C18" s="46"/>
      <c r="G18" s="45"/>
      <c r="H18" s="45"/>
      <c r="L18" s="47"/>
      <c r="M18" s="47"/>
    </row>
  </sheetData>
  <mergeCells count="4">
    <mergeCell ref="G4:H6"/>
    <mergeCell ref="G15:H18"/>
    <mergeCell ref="B17:C18"/>
    <mergeCell ref="L17:M18"/>
  </mergeCell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M5"/>
  <sheetViews>
    <sheetView workbookViewId="0">
      <selection activeCell="P24" sqref="P24"/>
    </sheetView>
  </sheetViews>
  <sheetFormatPr defaultRowHeight="14.4" x14ac:dyDescent="0.3"/>
  <sheetData>
    <row r="4" spans="10:13" ht="14.4" customHeight="1" x14ac:dyDescent="0.3">
      <c r="J4" s="53" t="s">
        <v>83</v>
      </c>
      <c r="K4" s="53"/>
      <c r="L4" s="53"/>
      <c r="M4" s="53"/>
    </row>
    <row r="5" spans="10:13" ht="14.4" customHeight="1" x14ac:dyDescent="0.3">
      <c r="J5" s="53"/>
      <c r="K5" s="53"/>
      <c r="L5" s="53"/>
      <c r="M5" s="53"/>
    </row>
  </sheetData>
  <mergeCells count="1">
    <mergeCell ref="J4:M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12F4F-53DB-49A6-8FCA-D22B149D3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Sheet1 - PRODUCTS</vt:lpstr>
      <vt:lpstr>Sheet2 - CUSTOMERS</vt:lpstr>
      <vt:lpstr>Sheet3 - OEVRALL_SUMMARY</vt:lpstr>
      <vt:lpstr>PIVOT_DATA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 Sarkar</dc:creator>
  <cp:lastModifiedBy>Tanmoy Sarkar</cp:lastModifiedBy>
  <dcterms:created xsi:type="dcterms:W3CDTF">2026-02-03T05:18:11Z</dcterms:created>
  <dcterms:modified xsi:type="dcterms:W3CDTF">2026-02-09T06:14:46Z</dcterms:modified>
</cp:coreProperties>
</file>